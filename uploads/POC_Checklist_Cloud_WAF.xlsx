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2931567\Downloads\"/>
    </mc:Choice>
  </mc:AlternateContent>
  <xr:revisionPtr revIDLastSave="0" documentId="13_ncr:1_{DB47EE14-32D4-433E-B146-30C07C560DEE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POC Summary" sheetId="1" r:id="rId1"/>
    <sheet name="Scoring Matrix" sheetId="2" r:id="rId2"/>
    <sheet name="Security" sheetId="3" r:id="rId3"/>
    <sheet name="Performance" sheetId="4" r:id="rId4"/>
    <sheet name="Manageability" sheetId="5" r:id="rId5"/>
    <sheet name="Integration" sheetId="6" r:id="rId6"/>
    <sheet name="FalsePositive" sheetId="7" r:id="rId7"/>
    <sheet name="Cost" sheetId="8" r:id="rId8"/>
    <sheet name="NonTechnical" sheetId="9" r:id="rId9"/>
    <sheet name="Final Recommendation" sheetId="10" r:id="rId10"/>
    <sheet name="Skala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4" l="1"/>
  <c r="D9" i="4"/>
  <c r="D5" i="4"/>
  <c r="C2" i="2"/>
  <c r="F22" i="3"/>
  <c r="F24" i="3"/>
  <c r="F25" i="3" s="1"/>
  <c r="F20" i="3"/>
  <c r="F19" i="3"/>
  <c r="F18" i="3"/>
  <c r="F16" i="3"/>
  <c r="F15" i="3"/>
  <c r="F14" i="3"/>
  <c r="F12" i="3"/>
  <c r="F11" i="3"/>
  <c r="F10" i="3"/>
  <c r="F8" i="3"/>
  <c r="F7" i="3"/>
  <c r="F6" i="3"/>
  <c r="F4" i="3"/>
  <c r="F3" i="3"/>
  <c r="F2" i="3"/>
  <c r="F5" i="3" s="1"/>
  <c r="E8" i="2"/>
  <c r="D8" i="2"/>
  <c r="F13" i="3" l="1"/>
  <c r="F9" i="3"/>
  <c r="F26" i="3" s="1"/>
  <c r="F21" i="3"/>
  <c r="F17" i="3"/>
  <c r="C8" i="2" l="1"/>
</calcChain>
</file>

<file path=xl/sharedStrings.xml><?xml version="1.0" encoding="utf-8"?>
<sst xmlns="http://schemas.openxmlformats.org/spreadsheetml/2006/main" count="204" uniqueCount="106">
  <si>
    <t>Vendor</t>
  </si>
  <si>
    <t>Produk</t>
  </si>
  <si>
    <t>Deployment Model</t>
  </si>
  <si>
    <t>Total Score</t>
  </si>
  <si>
    <t>Status</t>
  </si>
  <si>
    <t>Catatan</t>
  </si>
  <si>
    <t>Kategori</t>
  </si>
  <si>
    <t>Bobot</t>
  </si>
  <si>
    <t>Vendor A</t>
  </si>
  <si>
    <t>Vendor B</t>
  </si>
  <si>
    <t>Vendor C</t>
  </si>
  <si>
    <t>Proteksi Security</t>
  </si>
  <si>
    <t>Performance</t>
  </si>
  <si>
    <t>Manageability</t>
  </si>
  <si>
    <t>Integration</t>
  </si>
  <si>
    <t>False Positive</t>
  </si>
  <si>
    <t>Cost</t>
  </si>
  <si>
    <t>TOTAL</t>
  </si>
  <si>
    <t>No</t>
  </si>
  <si>
    <t>Item Uji</t>
  </si>
  <si>
    <t>Kriteria</t>
  </si>
  <si>
    <t>SQL Injection</t>
  </si>
  <si>
    <t>XSS</t>
  </si>
  <si>
    <t>Terblokir</t>
  </si>
  <si>
    <t>Command Injection</t>
  </si>
  <si>
    <t>File Inclusion (LFI/RFI)</t>
  </si>
  <si>
    <t>CSRF</t>
  </si>
  <si>
    <t>Bot Protection</t>
  </si>
  <si>
    <t>Request per second</t>
  </si>
  <si>
    <t>UI Dashboard</t>
  </si>
  <si>
    <t>User friendly</t>
  </si>
  <si>
    <t>Rule Management</t>
  </si>
  <si>
    <t>Mudah dikonfigurasi</t>
  </si>
  <si>
    <t>Custom Rule</t>
  </si>
  <si>
    <t>Fleksibel</t>
  </si>
  <si>
    <t>Learning Mode</t>
  </si>
  <si>
    <t>Tersedia</t>
  </si>
  <si>
    <t>RBAC</t>
  </si>
  <si>
    <t>Lengkap</t>
  </si>
  <si>
    <t>Audit Log</t>
  </si>
  <si>
    <t>SIEM Integration</t>
  </si>
  <si>
    <t>Support Splunk/ELK/etc</t>
  </si>
  <si>
    <t>Log Streaming</t>
  </si>
  <si>
    <t>Real-time</t>
  </si>
  <si>
    <t>Alerting</t>
  </si>
  <si>
    <t>Email/Slack/Teams</t>
  </si>
  <si>
    <t>API Integration</t>
  </si>
  <si>
    <t>Threat Intelligence</t>
  </si>
  <si>
    <t>Terintegrasi</t>
  </si>
  <si>
    <t>False Positive Rate</t>
  </si>
  <si>
    <t>Rendah</t>
  </si>
  <si>
    <t>False Negative Rate</t>
  </si>
  <si>
    <t>Tidak ada</t>
  </si>
  <si>
    <t>Rule Tuning</t>
  </si>
  <si>
    <t>Mudah</t>
  </si>
  <si>
    <t>Log Visibility</t>
  </si>
  <si>
    <t>Detail</t>
  </si>
  <si>
    <t>Harga</t>
  </si>
  <si>
    <t>Kompetitif</t>
  </si>
  <si>
    <t>Model Pricing</t>
  </si>
  <si>
    <t>Transparan</t>
  </si>
  <si>
    <t>Scalability Cost</t>
  </si>
  <si>
    <t>Efisien</t>
  </si>
  <si>
    <t>Support Cost</t>
  </si>
  <si>
    <t>Termasuk / tambahan</t>
  </si>
  <si>
    <t>SLA Support</t>
  </si>
  <si>
    <t>Local Support</t>
  </si>
  <si>
    <t>Dokumentasi</t>
  </si>
  <si>
    <t>Kemudahan Implementasi</t>
  </si>
  <si>
    <t>Vendor Reputation</t>
  </si>
  <si>
    <t>Roadmap Produk</t>
  </si>
  <si>
    <t>Kelebihan</t>
  </si>
  <si>
    <t>Kekurangan</t>
  </si>
  <si>
    <t>Rekomendasi</t>
  </si>
  <si>
    <t>Skor</t>
  </si>
  <si>
    <t>Keterangan</t>
  </si>
  <si>
    <t>Tidak tersedia</t>
  </si>
  <si>
    <t>Sangat buruk</t>
  </si>
  <si>
    <t>Kurang</t>
  </si>
  <si>
    <t>Cukup</t>
  </si>
  <si>
    <t>Baik</t>
  </si>
  <si>
    <t>Sangat baik</t>
  </si>
  <si>
    <t>1 hari</t>
  </si>
  <si>
    <t>z = (get+post+both)/3</t>
  </si>
  <si>
    <t>Imperva</t>
  </si>
  <si>
    <t>Rumus</t>
  </si>
  <si>
    <t>Web</t>
  </si>
  <si>
    <t>https://brinscreenbook.brins.co.id/login/</t>
  </si>
  <si>
    <t>https://brins.co.id/home</t>
  </si>
  <si>
    <t>https://mis.brins.co.id/#/signin/</t>
  </si>
  <si>
    <t>Poin Akhir</t>
  </si>
  <si>
    <t>Imperva (s)</t>
  </si>
  <si>
    <t>Average</t>
  </si>
  <si>
    <t>Throughput (Stabil tinggi)</t>
  </si>
  <si>
    <t>Latency (Minimal impact)</t>
  </si>
  <si>
    <t>Penjelasan Singkat</t>
  </si>
  <si>
    <t>Tampilan dashboard WAF mudah dipahami, navigasi jelas, dan memudahkan monitoring security serta traffic website.</t>
  </si>
  <si>
    <t>Kemudahan dalam membuat, mengubah, mengaktifkan, atau menonaktifkan rule/policy keamanan pada WAF.</t>
  </si>
  <si>
    <t>Kemampuan WAF untuk membuat rule keamanan khusus sesuai kebutuhan organisasi atau aplikasi.</t>
  </si>
  <si>
    <t>Fitur WAF yang dapat mempelajari pola traffic normal aplikasi untuk membantu membangun rule otomatis dan mengurangi false positive.</t>
  </si>
  <si>
    <t>Role-Based Access Control, yaitu pengaturan hak akses pengguna berdasarkan peran tertentu (admin, viewer, auditor, dll).</t>
  </si>
  <si>
    <t>Fitur pencatatan aktivitas pada WAF, seperti perubahan konfigurasi, login user, dan aktivitas administrasi untuk kebutuhan monitoring dan audit keamanan.</t>
  </si>
  <si>
    <t>Calpadia</t>
  </si>
  <si>
    <t>On premise</t>
  </si>
  <si>
    <t>Akamai</t>
  </si>
  <si>
    <t>Cloudflare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</si>
</sst>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0.0000"/>
    <numFmt numFmtId="165" formatCode="_-* #,##0.00_-;\-* #,##0.00_-;_-* &quot;-&quot;_-;_-@_-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1" fontId="3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0" fillId="0" borderId="0" xfId="1" applyFont="1"/>
    <xf numFmtId="9" fontId="0" fillId="0" borderId="0" xfId="0" applyNumberFormat="1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2" applyAlignment="1">
      <alignment horizontal="left" vertical="center"/>
    </xf>
    <xf numFmtId="9" fontId="0" fillId="2" borderId="0" xfId="0" applyNumberFormat="1" applyFill="1"/>
    <xf numFmtId="9" fontId="0" fillId="3" borderId="0" xfId="1" applyFont="1" applyFill="1"/>
    <xf numFmtId="164" fontId="0" fillId="0" borderId="0" xfId="0" applyNumberFormat="1"/>
    <xf numFmtId="165" fontId="0" fillId="0" borderId="0" xfId="3" applyNumberFormat="1" applyFont="1"/>
    <xf numFmtId="43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3" borderId="0" xfId="0" applyFill="1" applyAlignment="1">
      <alignment horizontal="center" vertical="center"/>
    </xf>
  </cellXfs>
  <cellStyles count="4">
    <cellStyle name="Comma [0]" xfId="3" builtinId="6"/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brins.co.id/home" TargetMode="External"/><Relationship Id="rId13" Type="http://schemas.openxmlformats.org/officeDocument/2006/relationships/hyperlink" Target="https://brinscreenbook.brins.co.id/login/" TargetMode="External"/><Relationship Id="rId18" Type="http://schemas.openxmlformats.org/officeDocument/2006/relationships/hyperlink" Target="https://mis.brins.co.id/" TargetMode="External"/><Relationship Id="rId3" Type="http://schemas.openxmlformats.org/officeDocument/2006/relationships/hyperlink" Target="https://mis.brins.co.id/" TargetMode="External"/><Relationship Id="rId7" Type="http://schemas.openxmlformats.org/officeDocument/2006/relationships/hyperlink" Target="https://brinscreenbook.brins.co.id/login/" TargetMode="External"/><Relationship Id="rId12" Type="http://schemas.openxmlformats.org/officeDocument/2006/relationships/hyperlink" Target="https://mis.brins.co.id/" TargetMode="External"/><Relationship Id="rId17" Type="http://schemas.openxmlformats.org/officeDocument/2006/relationships/hyperlink" Target="https://brins.co.id/home" TargetMode="External"/><Relationship Id="rId2" Type="http://schemas.openxmlformats.org/officeDocument/2006/relationships/hyperlink" Target="https://brins.co.id/home" TargetMode="External"/><Relationship Id="rId16" Type="http://schemas.openxmlformats.org/officeDocument/2006/relationships/hyperlink" Target="https://brinscreenbook.brins.co.id/login/" TargetMode="External"/><Relationship Id="rId1" Type="http://schemas.openxmlformats.org/officeDocument/2006/relationships/hyperlink" Target="https://brinscreenbook.brins.co.id/login/" TargetMode="External"/><Relationship Id="rId6" Type="http://schemas.openxmlformats.org/officeDocument/2006/relationships/hyperlink" Target="https://mis.brins.co.id/" TargetMode="External"/><Relationship Id="rId11" Type="http://schemas.openxmlformats.org/officeDocument/2006/relationships/hyperlink" Target="https://brins.co.id/home" TargetMode="External"/><Relationship Id="rId5" Type="http://schemas.openxmlformats.org/officeDocument/2006/relationships/hyperlink" Target="https://brins.co.id/home" TargetMode="External"/><Relationship Id="rId15" Type="http://schemas.openxmlformats.org/officeDocument/2006/relationships/hyperlink" Target="https://mis.brins.co.id/" TargetMode="External"/><Relationship Id="rId10" Type="http://schemas.openxmlformats.org/officeDocument/2006/relationships/hyperlink" Target="https://brinscreenbook.brins.co.id/login/" TargetMode="External"/><Relationship Id="rId4" Type="http://schemas.openxmlformats.org/officeDocument/2006/relationships/hyperlink" Target="https://brinscreenbook.brins.co.id/login/" TargetMode="External"/><Relationship Id="rId9" Type="http://schemas.openxmlformats.org/officeDocument/2006/relationships/hyperlink" Target="https://mis.brins.co.id/" TargetMode="External"/><Relationship Id="rId14" Type="http://schemas.openxmlformats.org/officeDocument/2006/relationships/hyperlink" Target="https://brins.co.id/home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brins.co.id/home" TargetMode="External"/><Relationship Id="rId3" Type="http://schemas.openxmlformats.org/officeDocument/2006/relationships/hyperlink" Target="https://mis.brins.co.id/" TargetMode="External"/><Relationship Id="rId7" Type="http://schemas.openxmlformats.org/officeDocument/2006/relationships/hyperlink" Target="https://brinscreenbook.brins.co.id/login/" TargetMode="External"/><Relationship Id="rId2" Type="http://schemas.openxmlformats.org/officeDocument/2006/relationships/hyperlink" Target="https://brins.co.id/home" TargetMode="External"/><Relationship Id="rId1" Type="http://schemas.openxmlformats.org/officeDocument/2006/relationships/hyperlink" Target="https://brinscreenbook.brins.co.id/login/" TargetMode="External"/><Relationship Id="rId6" Type="http://schemas.openxmlformats.org/officeDocument/2006/relationships/hyperlink" Target="https://mis.brins.co.id/" TargetMode="External"/><Relationship Id="rId5" Type="http://schemas.openxmlformats.org/officeDocument/2006/relationships/hyperlink" Target="https://brins.co.id/home" TargetMode="External"/><Relationship Id="rId4" Type="http://schemas.openxmlformats.org/officeDocument/2006/relationships/hyperlink" Target="https://brinscreenbook.brins.co.id/login/" TargetMode="External"/><Relationship Id="rId9" Type="http://schemas.openxmlformats.org/officeDocument/2006/relationships/hyperlink" Target="https://mis.brins.co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F2" sqref="F2"/>
    </sheetView>
  </sheetViews>
  <sheetFormatPr defaultRowHeight="15" x14ac:dyDescent="0.25"/>
  <cols>
    <col min="1" max="2" width="20" customWidth="1"/>
    <col min="3" max="3" width="22" customWidth="1"/>
    <col min="4" max="4" width="14" customWidth="1"/>
    <col min="5" max="5" width="12" customWidth="1"/>
    <col min="6" max="6" width="3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102</v>
      </c>
      <c r="B2" t="s">
        <v>84</v>
      </c>
      <c r="C2" t="s">
        <v>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C8" sqref="C8"/>
    </sheetView>
  </sheetViews>
  <sheetFormatPr defaultRowHeight="15" x14ac:dyDescent="0.25"/>
  <cols>
    <col min="1" max="1" width="28" customWidth="1"/>
    <col min="2" max="2" width="10" customWidth="1"/>
    <col min="3" max="5" width="14" customWidth="1"/>
  </cols>
  <sheetData>
    <row r="1" spans="1:5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25">
      <c r="A2" t="s">
        <v>11</v>
      </c>
      <c r="B2">
        <v>0.3</v>
      </c>
      <c r="C2" s="3">
        <f>Security!F26</f>
        <v>0.45545740740740737</v>
      </c>
    </row>
    <row r="3" spans="1:5" x14ac:dyDescent="0.25">
      <c r="A3" t="s">
        <v>12</v>
      </c>
      <c r="B3">
        <v>0.2</v>
      </c>
      <c r="C3" s="3"/>
    </row>
    <row r="4" spans="1:5" x14ac:dyDescent="0.25">
      <c r="A4" t="s">
        <v>13</v>
      </c>
      <c r="B4">
        <v>0.15</v>
      </c>
      <c r="C4" s="3"/>
    </row>
    <row r="5" spans="1:5" x14ac:dyDescent="0.25">
      <c r="A5" t="s">
        <v>14</v>
      </c>
      <c r="B5">
        <v>0.15</v>
      </c>
      <c r="C5" s="3"/>
    </row>
    <row r="6" spans="1:5" x14ac:dyDescent="0.25">
      <c r="A6" t="s">
        <v>15</v>
      </c>
      <c r="B6">
        <v>0.1</v>
      </c>
      <c r="C6" s="3"/>
    </row>
    <row r="7" spans="1:5" x14ac:dyDescent="0.25">
      <c r="A7" t="s">
        <v>16</v>
      </c>
      <c r="B7">
        <v>0.1</v>
      </c>
      <c r="C7" s="3"/>
    </row>
    <row r="8" spans="1:5" x14ac:dyDescent="0.25">
      <c r="A8" t="s">
        <v>17</v>
      </c>
      <c r="B8">
        <v>1</v>
      </c>
      <c r="C8" s="3">
        <f>SUM(C2:C7)</f>
        <v>0.45545740740740737</v>
      </c>
      <c r="D8">
        <f>SUM(D2:D7)</f>
        <v>0</v>
      </c>
      <c r="E8">
        <f>SUM(E2:E7)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topLeftCell="A8" workbookViewId="0">
      <selection activeCell="H2" sqref="H2"/>
    </sheetView>
  </sheetViews>
  <sheetFormatPr defaultRowHeight="15" x14ac:dyDescent="0.25"/>
  <cols>
    <col min="1" max="1" width="6" customWidth="1"/>
    <col min="2" max="2" width="20.85546875" bestFit="1" customWidth="1"/>
    <col min="3" max="3" width="20.140625" bestFit="1" customWidth="1"/>
    <col min="4" max="4" width="22.85546875" bestFit="1" customWidth="1"/>
    <col min="5" max="5" width="38.7109375" bestFit="1" customWidth="1"/>
    <col min="6" max="8" width="12" customWidth="1"/>
    <col min="9" max="9" width="36" customWidth="1"/>
  </cols>
  <sheetData>
    <row r="1" spans="1:9" x14ac:dyDescent="0.25">
      <c r="A1" s="1" t="s">
        <v>18</v>
      </c>
      <c r="B1" s="1" t="s">
        <v>19</v>
      </c>
      <c r="C1" t="s">
        <v>85</v>
      </c>
      <c r="D1" s="1" t="s">
        <v>20</v>
      </c>
      <c r="E1" s="2" t="s">
        <v>86</v>
      </c>
      <c r="F1" s="2" t="s">
        <v>84</v>
      </c>
      <c r="G1" s="2" t="s">
        <v>104</v>
      </c>
      <c r="H1" s="2" t="s">
        <v>105</v>
      </c>
      <c r="I1" s="1" t="s">
        <v>5</v>
      </c>
    </row>
    <row r="2" spans="1:9" x14ac:dyDescent="0.25">
      <c r="A2" s="18">
        <v>1</v>
      </c>
      <c r="B2" s="20" t="s">
        <v>21</v>
      </c>
      <c r="C2" s="18" t="s">
        <v>83</v>
      </c>
      <c r="D2" s="18" t="s">
        <v>23</v>
      </c>
      <c r="E2" s="7" t="s">
        <v>87</v>
      </c>
      <c r="F2" s="4">
        <f>((0+50+100)/3)/100</f>
        <v>0.5</v>
      </c>
    </row>
    <row r="3" spans="1:9" x14ac:dyDescent="0.25">
      <c r="A3" s="18"/>
      <c r="B3" s="20"/>
      <c r="C3" s="18"/>
      <c r="D3" s="18"/>
      <c r="E3" s="7" t="s">
        <v>88</v>
      </c>
      <c r="F3" s="4">
        <f>((79.93+2.04+41.5)/3)/100</f>
        <v>0.41156666666666675</v>
      </c>
    </row>
    <row r="4" spans="1:9" x14ac:dyDescent="0.25">
      <c r="A4" s="18"/>
      <c r="B4" s="20"/>
      <c r="C4" s="18"/>
      <c r="D4" s="18"/>
      <c r="E4" s="7" t="s">
        <v>89</v>
      </c>
      <c r="F4" s="4">
        <f>((83.33+0+41.5)/3)/100</f>
        <v>0.41609999999999997</v>
      </c>
    </row>
    <row r="5" spans="1:9" x14ac:dyDescent="0.25">
      <c r="A5" s="17" t="s">
        <v>92</v>
      </c>
      <c r="B5" s="17"/>
      <c r="C5" s="17"/>
      <c r="D5" s="17"/>
      <c r="E5" s="17"/>
      <c r="F5" s="8">
        <f>SUM(F2:F4)/3</f>
        <v>0.44255555555555559</v>
      </c>
    </row>
    <row r="6" spans="1:9" x14ac:dyDescent="0.25">
      <c r="A6" s="19">
        <v>2</v>
      </c>
      <c r="B6" s="20" t="s">
        <v>22</v>
      </c>
      <c r="C6" s="18" t="s">
        <v>83</v>
      </c>
      <c r="D6" s="18" t="s">
        <v>23</v>
      </c>
      <c r="E6" s="7" t="s">
        <v>87</v>
      </c>
      <c r="F6" s="4">
        <f>((92.68+0+46.34)/3)/100</f>
        <v>0.46340000000000003</v>
      </c>
    </row>
    <row r="7" spans="1:9" x14ac:dyDescent="0.25">
      <c r="A7" s="19"/>
      <c r="B7" s="20"/>
      <c r="C7" s="18"/>
      <c r="D7" s="18"/>
      <c r="E7" s="7" t="s">
        <v>88</v>
      </c>
      <c r="F7" s="4">
        <f>((92.68+2.44+51.22)/3)/100</f>
        <v>0.48780000000000001</v>
      </c>
    </row>
    <row r="8" spans="1:9" x14ac:dyDescent="0.25">
      <c r="A8" s="19"/>
      <c r="B8" s="20"/>
      <c r="C8" s="18"/>
      <c r="D8" s="18"/>
      <c r="E8" s="7" t="s">
        <v>89</v>
      </c>
      <c r="F8" s="4">
        <f>((92.68+0+52.44)/3)/100</f>
        <v>0.48373333333333335</v>
      </c>
    </row>
    <row r="9" spans="1:9" x14ac:dyDescent="0.25">
      <c r="A9" s="17" t="s">
        <v>92</v>
      </c>
      <c r="B9" s="17"/>
      <c r="C9" s="17"/>
      <c r="D9" s="17"/>
      <c r="E9" s="17"/>
      <c r="F9" s="8">
        <f>SUM(F6:F8)/3</f>
        <v>0.47831111111111113</v>
      </c>
    </row>
    <row r="10" spans="1:9" x14ac:dyDescent="0.25">
      <c r="A10" s="19">
        <v>3</v>
      </c>
      <c r="B10" s="20" t="s">
        <v>24</v>
      </c>
      <c r="C10" s="18" t="s">
        <v>83</v>
      </c>
      <c r="D10" s="18" t="s">
        <v>23</v>
      </c>
      <c r="E10" s="7" t="s">
        <v>87</v>
      </c>
      <c r="F10" s="4">
        <f>((70.25+88.25+69.25)/3)/100</f>
        <v>0.75916666666666677</v>
      </c>
    </row>
    <row r="11" spans="1:9" x14ac:dyDescent="0.25">
      <c r="A11" s="19"/>
      <c r="B11" s="20"/>
      <c r="C11" s="18"/>
      <c r="D11" s="18"/>
      <c r="E11" s="7" t="s">
        <v>88</v>
      </c>
      <c r="F11" s="4">
        <f>((91+88.75+92.25)/3)/100</f>
        <v>0.90666666666666673</v>
      </c>
    </row>
    <row r="12" spans="1:9" x14ac:dyDescent="0.25">
      <c r="A12" s="19"/>
      <c r="B12" s="20"/>
      <c r="C12" s="18"/>
      <c r="D12" s="18"/>
      <c r="E12" s="7" t="s">
        <v>89</v>
      </c>
      <c r="F12" s="4">
        <f>((90.25+90+90.62)/3)/100</f>
        <v>0.90290000000000004</v>
      </c>
    </row>
    <row r="13" spans="1:9" x14ac:dyDescent="0.25">
      <c r="A13" s="17" t="s">
        <v>92</v>
      </c>
      <c r="B13" s="17"/>
      <c r="C13" s="17"/>
      <c r="D13" s="17"/>
      <c r="E13" s="17"/>
      <c r="F13" s="8">
        <f>SUM(F10:F12)/3</f>
        <v>0.85624444444444447</v>
      </c>
    </row>
    <row r="14" spans="1:9" x14ac:dyDescent="0.25">
      <c r="A14" s="19">
        <v>4</v>
      </c>
      <c r="B14" s="20" t="s">
        <v>25</v>
      </c>
      <c r="C14" s="18" t="s">
        <v>83</v>
      </c>
      <c r="D14" s="5" t="s">
        <v>23</v>
      </c>
      <c r="E14" s="7" t="s">
        <v>87</v>
      </c>
      <c r="F14" s="4">
        <f>((15.56+91.53+53.55)/3)/100</f>
        <v>0.53546666666666665</v>
      </c>
    </row>
    <row r="15" spans="1:9" x14ac:dyDescent="0.25">
      <c r="A15" s="19"/>
      <c r="B15" s="20"/>
      <c r="C15" s="18"/>
      <c r="E15" s="7" t="s">
        <v>88</v>
      </c>
      <c r="F15" s="4">
        <f>((81.33+84.32+83.94)/3)/100</f>
        <v>0.83196666666666663</v>
      </c>
    </row>
    <row r="16" spans="1:9" x14ac:dyDescent="0.25">
      <c r="A16" s="19"/>
      <c r="B16" s="20"/>
      <c r="C16" s="18"/>
      <c r="E16" s="7" t="s">
        <v>89</v>
      </c>
      <c r="F16" s="4">
        <f>((31.61+38.95+36.29)/3)/100</f>
        <v>0.35616666666666669</v>
      </c>
    </row>
    <row r="17" spans="1:6" x14ac:dyDescent="0.25">
      <c r="A17" s="17" t="s">
        <v>92</v>
      </c>
      <c r="B17" s="17"/>
      <c r="C17" s="17"/>
      <c r="D17" s="17"/>
      <c r="E17" s="17"/>
      <c r="F17" s="8">
        <f>SUM(F14:F16)/3</f>
        <v>0.57453333333333334</v>
      </c>
    </row>
    <row r="18" spans="1:6" x14ac:dyDescent="0.25">
      <c r="A18" s="5">
        <v>5</v>
      </c>
      <c r="B18" s="6" t="s">
        <v>26</v>
      </c>
      <c r="C18" s="18" t="s">
        <v>83</v>
      </c>
      <c r="D18" s="5" t="s">
        <v>23</v>
      </c>
      <c r="E18" s="7" t="s">
        <v>87</v>
      </c>
      <c r="F18" s="4">
        <f>((0+100+50)/3)/100</f>
        <v>0.5</v>
      </c>
    </row>
    <row r="19" spans="1:6" x14ac:dyDescent="0.25">
      <c r="C19" s="18"/>
      <c r="E19" s="7" t="s">
        <v>88</v>
      </c>
      <c r="F19" s="4">
        <f>((33+11.11+22.22)/3)/100</f>
        <v>0.22109999999999999</v>
      </c>
    </row>
    <row r="20" spans="1:6" x14ac:dyDescent="0.25">
      <c r="C20" s="18"/>
      <c r="E20" s="7" t="s">
        <v>89</v>
      </c>
      <c r="F20" s="4">
        <f>((22.22+22.22+22.22)/3)/100</f>
        <v>0.22219999999999998</v>
      </c>
    </row>
    <row r="21" spans="1:6" x14ac:dyDescent="0.25">
      <c r="A21" s="17" t="s">
        <v>92</v>
      </c>
      <c r="B21" s="17"/>
      <c r="C21" s="17"/>
      <c r="D21" s="17"/>
      <c r="E21" s="17"/>
      <c r="F21" s="8">
        <f>SUM(F18:F20)/3</f>
        <v>0.31443333333333329</v>
      </c>
    </row>
    <row r="22" spans="1:6" x14ac:dyDescent="0.25">
      <c r="A22">
        <v>6</v>
      </c>
      <c r="B22" s="6" t="s">
        <v>27</v>
      </c>
      <c r="C22" s="18"/>
      <c r="D22" s="5" t="s">
        <v>23</v>
      </c>
      <c r="E22" s="7" t="s">
        <v>87</v>
      </c>
      <c r="F22" s="4">
        <f>2/100</f>
        <v>0.02</v>
      </c>
    </row>
    <row r="23" spans="1:6" x14ac:dyDescent="0.25">
      <c r="C23" s="18"/>
      <c r="E23" s="7" t="s">
        <v>88</v>
      </c>
      <c r="F23" s="4">
        <v>0.18</v>
      </c>
    </row>
    <row r="24" spans="1:6" x14ac:dyDescent="0.25">
      <c r="C24" s="18"/>
      <c r="E24" s="7" t="s">
        <v>89</v>
      </c>
      <c r="F24" s="4">
        <f t="shared" ref="F24" si="0">((0+0+0)/3)/100</f>
        <v>0</v>
      </c>
    </row>
    <row r="25" spans="1:6" x14ac:dyDescent="0.25">
      <c r="A25" s="17" t="s">
        <v>92</v>
      </c>
      <c r="B25" s="17"/>
      <c r="C25" s="17"/>
      <c r="D25" s="17"/>
      <c r="E25" s="17"/>
      <c r="F25" s="8">
        <f>SUM(F22:F24)/3</f>
        <v>6.6666666666666666E-2</v>
      </c>
    </row>
    <row r="26" spans="1:6" x14ac:dyDescent="0.25">
      <c r="A26" s="21" t="s">
        <v>90</v>
      </c>
      <c r="B26" s="21"/>
      <c r="C26" s="21"/>
      <c r="D26" s="21"/>
      <c r="E26" s="21"/>
      <c r="F26" s="9">
        <f>(F5+F9+F13+F17+F21+F25)/6</f>
        <v>0.45545740740740737</v>
      </c>
    </row>
  </sheetData>
  <mergeCells count="24">
    <mergeCell ref="A26:E26"/>
    <mergeCell ref="A14:A16"/>
    <mergeCell ref="A10:A12"/>
    <mergeCell ref="A9:E9"/>
    <mergeCell ref="C6:C8"/>
    <mergeCell ref="D6:D8"/>
    <mergeCell ref="C10:C12"/>
    <mergeCell ref="D10:D12"/>
    <mergeCell ref="A25:E25"/>
    <mergeCell ref="C18:C20"/>
    <mergeCell ref="C22:C24"/>
    <mergeCell ref="A21:E21"/>
    <mergeCell ref="A13:E13"/>
    <mergeCell ref="B6:B8"/>
    <mergeCell ref="B10:B12"/>
    <mergeCell ref="B14:B16"/>
    <mergeCell ref="A17:E17"/>
    <mergeCell ref="C14:C16"/>
    <mergeCell ref="A6:A8"/>
    <mergeCell ref="A2:A4"/>
    <mergeCell ref="D2:D4"/>
    <mergeCell ref="A5:E5"/>
    <mergeCell ref="C2:C4"/>
    <mergeCell ref="B2:B4"/>
  </mergeCells>
  <hyperlinks>
    <hyperlink ref="E2" r:id="rId1" xr:uid="{22F35CBA-5E1E-4051-8F73-A6EA7DCDDE55}"/>
    <hyperlink ref="E3" r:id="rId2" xr:uid="{206026DB-982C-405E-A798-188DEBAA6EC3}"/>
    <hyperlink ref="E4" r:id="rId3" location="/signin/" xr:uid="{FEDB4B50-2706-49C7-9A03-BD714F62D11E}"/>
    <hyperlink ref="E6" r:id="rId4" xr:uid="{D6349F58-9007-49AD-B277-74536753D91B}"/>
    <hyperlink ref="E7" r:id="rId5" xr:uid="{76E4F830-9182-4DDB-849D-E4006F63F6CC}"/>
    <hyperlink ref="E8" r:id="rId6" location="/signin/" xr:uid="{5A399937-6E3E-4852-863B-12B88952FE66}"/>
    <hyperlink ref="E10" r:id="rId7" xr:uid="{503B70D9-4965-42F7-AA7D-B684367BC62E}"/>
    <hyperlink ref="E11" r:id="rId8" xr:uid="{34E4C071-D617-45C7-A9C5-5BC9F343F954}"/>
    <hyperlink ref="E12" r:id="rId9" location="/signin/" xr:uid="{BB2EA5D3-EDB0-4582-B8AF-8CA71953E059}"/>
    <hyperlink ref="E14" r:id="rId10" xr:uid="{8BE18B59-20A5-44C5-AC0A-4858FC8D207B}"/>
    <hyperlink ref="E15" r:id="rId11" xr:uid="{C81031C4-A4F1-4384-82FC-220C25229E27}"/>
    <hyperlink ref="E16" r:id="rId12" location="/signin/" xr:uid="{43FC3A26-82CA-4FF7-A969-871171D06934}"/>
    <hyperlink ref="E18" r:id="rId13" xr:uid="{9CDD319E-3453-4145-8202-1AE2667FB503}"/>
    <hyperlink ref="E19" r:id="rId14" xr:uid="{02D4F467-1D91-47B8-960E-5F699509B10E}"/>
    <hyperlink ref="E20" r:id="rId15" location="/signin/" xr:uid="{CEA93431-46D4-461E-84A1-4022D491F393}"/>
    <hyperlink ref="E22" r:id="rId16" xr:uid="{FACE4D20-F71F-4DA6-8E19-6CA3D01DF4E8}"/>
    <hyperlink ref="E23" r:id="rId17" xr:uid="{61D7E4E8-A204-46FF-8B3D-175C17F6F077}"/>
    <hyperlink ref="E24" r:id="rId18" location="/signin/" xr:uid="{78123E9A-D09D-4CA5-9F89-755D8F3F3CDD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>
      <selection activeCell="H12" sqref="H12"/>
    </sheetView>
  </sheetViews>
  <sheetFormatPr defaultRowHeight="15" x14ac:dyDescent="0.25"/>
  <cols>
    <col min="1" max="1" width="6" customWidth="1"/>
    <col min="2" max="2" width="32" customWidth="1"/>
    <col min="3" max="3" width="38.140625" bestFit="1" customWidth="1"/>
    <col min="4" max="6" width="12" customWidth="1"/>
    <col min="7" max="7" width="36" customWidth="1"/>
  </cols>
  <sheetData>
    <row r="1" spans="1:7" x14ac:dyDescent="0.25">
      <c r="A1" s="1" t="s">
        <v>18</v>
      </c>
      <c r="B1" s="1" t="s">
        <v>19</v>
      </c>
      <c r="C1" s="1" t="s">
        <v>86</v>
      </c>
      <c r="D1" s="1" t="s">
        <v>91</v>
      </c>
      <c r="E1" s="1" t="s">
        <v>9</v>
      </c>
      <c r="F1" s="1" t="s">
        <v>10</v>
      </c>
      <c r="G1" s="1" t="s">
        <v>5</v>
      </c>
    </row>
    <row r="2" spans="1:7" x14ac:dyDescent="0.25">
      <c r="A2">
        <v>1</v>
      </c>
      <c r="B2" t="s">
        <v>94</v>
      </c>
      <c r="C2" s="7" t="s">
        <v>87</v>
      </c>
      <c r="D2">
        <v>0.108</v>
      </c>
    </row>
    <row r="3" spans="1:7" x14ac:dyDescent="0.25">
      <c r="C3" s="7" t="s">
        <v>88</v>
      </c>
      <c r="D3">
        <v>0.20200000000000001</v>
      </c>
    </row>
    <row r="4" spans="1:7" x14ac:dyDescent="0.25">
      <c r="C4" s="7" t="s">
        <v>89</v>
      </c>
      <c r="D4">
        <v>0.127</v>
      </c>
    </row>
    <row r="5" spans="1:7" x14ac:dyDescent="0.25">
      <c r="B5" s="16" t="s">
        <v>92</v>
      </c>
      <c r="C5" s="16"/>
      <c r="D5" s="10">
        <f>SUM(D2:D4)/3</f>
        <v>0.14566666666666667</v>
      </c>
    </row>
    <row r="6" spans="1:7" x14ac:dyDescent="0.25">
      <c r="A6">
        <v>2</v>
      </c>
      <c r="B6" t="s">
        <v>93</v>
      </c>
      <c r="C6" s="7" t="s">
        <v>87</v>
      </c>
      <c r="D6" s="11">
        <v>1838.1690140000001</v>
      </c>
    </row>
    <row r="7" spans="1:7" x14ac:dyDescent="0.25">
      <c r="C7" s="7" t="s">
        <v>88</v>
      </c>
      <c r="D7" s="11">
        <v>66.172291670000007</v>
      </c>
    </row>
    <row r="8" spans="1:7" x14ac:dyDescent="0.25">
      <c r="C8" s="7" t="s">
        <v>89</v>
      </c>
      <c r="D8" s="11">
        <v>403.55263159999998</v>
      </c>
    </row>
    <row r="9" spans="1:7" x14ac:dyDescent="0.25">
      <c r="B9" s="16" t="s">
        <v>92</v>
      </c>
      <c r="C9" s="16"/>
      <c r="D9" s="12">
        <f>SUM(D6:D8)/3</f>
        <v>769.29797909000001</v>
      </c>
    </row>
    <row r="10" spans="1:7" x14ac:dyDescent="0.25">
      <c r="A10">
        <v>3</v>
      </c>
      <c r="B10" t="s">
        <v>28</v>
      </c>
      <c r="C10" s="7" t="s">
        <v>87</v>
      </c>
      <c r="D10" s="11">
        <v>130.51</v>
      </c>
    </row>
    <row r="11" spans="1:7" x14ac:dyDescent="0.25">
      <c r="C11" s="7" t="s">
        <v>88</v>
      </c>
      <c r="D11" s="11">
        <v>25.01</v>
      </c>
    </row>
    <row r="12" spans="1:7" x14ac:dyDescent="0.25">
      <c r="C12" s="7" t="s">
        <v>89</v>
      </c>
      <c r="D12">
        <v>61.34</v>
      </c>
    </row>
    <row r="13" spans="1:7" x14ac:dyDescent="0.25">
      <c r="B13" s="16" t="s">
        <v>92</v>
      </c>
      <c r="C13" s="16"/>
      <c r="D13" s="12">
        <f>SUM(D10:D12)/3</f>
        <v>72.286666666666662</v>
      </c>
    </row>
  </sheetData>
  <mergeCells count="3">
    <mergeCell ref="B5:C5"/>
    <mergeCell ref="B9:C9"/>
    <mergeCell ref="B13:C13"/>
  </mergeCells>
  <hyperlinks>
    <hyperlink ref="C2" r:id="rId1" xr:uid="{1B728DB8-5173-4B8B-8E97-701CB2E4B6EA}"/>
    <hyperlink ref="C3" r:id="rId2" xr:uid="{CD283F5F-9301-4907-A17A-A593654AE6A8}"/>
    <hyperlink ref="C4" r:id="rId3" location="/signin/" xr:uid="{4302836E-ADAC-4CC2-9C2B-4F1D4260F4BD}"/>
    <hyperlink ref="C6" r:id="rId4" xr:uid="{753EBFA3-06CA-452D-8828-6FDFAE531012}"/>
    <hyperlink ref="C7" r:id="rId5" xr:uid="{EF0D8E93-7006-452A-B1DB-226E55C9152B}"/>
    <hyperlink ref="C8" r:id="rId6" location="/signin/" xr:uid="{2C233967-D075-49D2-9E7C-75B073344383}"/>
    <hyperlink ref="C10" r:id="rId7" xr:uid="{DA4AE51E-A1AC-47FE-8AE7-66C2C6086870}"/>
    <hyperlink ref="C11" r:id="rId8" xr:uid="{9AC04162-14CC-49ED-A1E3-AB069397B1A2}"/>
    <hyperlink ref="C12" r:id="rId9" location="/signin/" xr:uid="{A4BFAB3F-F8F1-4CC5-A20F-32EF1F890F5F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"/>
  <sheetViews>
    <sheetView tabSelected="1" workbookViewId="0">
      <selection activeCell="K4" sqref="K4"/>
    </sheetView>
  </sheetViews>
  <sheetFormatPr defaultRowHeight="15" x14ac:dyDescent="0.25"/>
  <cols>
    <col min="1" max="1" width="3.5703125" bestFit="1" customWidth="1"/>
    <col min="2" max="2" width="17.42578125" bestFit="1" customWidth="1"/>
    <col min="3" max="3" width="19.42578125" bestFit="1" customWidth="1"/>
    <col min="4" max="4" width="9.28515625" bestFit="1" customWidth="1"/>
    <col min="5" max="6" width="9.140625" bestFit="1" customWidth="1"/>
    <col min="7" max="7" width="7.7109375" bestFit="1" customWidth="1"/>
    <col min="9" max="9" width="3.5703125" bestFit="1" customWidth="1"/>
    <col min="10" max="10" width="17.5703125" bestFit="1" customWidth="1"/>
    <col min="11" max="11" width="48.28515625" bestFit="1" customWidth="1"/>
  </cols>
  <sheetData>
    <row r="1" spans="1:11" x14ac:dyDescent="0.25">
      <c r="A1" s="1" t="s">
        <v>18</v>
      </c>
      <c r="B1" s="1" t="s">
        <v>19</v>
      </c>
      <c r="C1" s="1" t="s">
        <v>20</v>
      </c>
      <c r="D1" s="1" t="s">
        <v>8</v>
      </c>
      <c r="E1" s="1" t="s">
        <v>9</v>
      </c>
      <c r="F1" s="1" t="s">
        <v>10</v>
      </c>
      <c r="G1" s="1" t="s">
        <v>5</v>
      </c>
      <c r="I1" s="13" t="s">
        <v>18</v>
      </c>
      <c r="J1" s="13" t="s">
        <v>19</v>
      </c>
      <c r="K1" s="13" t="s">
        <v>95</v>
      </c>
    </row>
    <row r="2" spans="1:11" ht="45" x14ac:dyDescent="0.25">
      <c r="A2">
        <v>1</v>
      </c>
      <c r="B2" t="s">
        <v>29</v>
      </c>
      <c r="C2" t="s">
        <v>30</v>
      </c>
      <c r="I2" s="14">
        <v>1</v>
      </c>
      <c r="J2" s="15" t="s">
        <v>29</v>
      </c>
      <c r="K2" s="14" t="s">
        <v>96</v>
      </c>
    </row>
    <row r="3" spans="1:11" ht="45" x14ac:dyDescent="0.25">
      <c r="A3">
        <v>2</v>
      </c>
      <c r="B3" t="s">
        <v>31</v>
      </c>
      <c r="C3" t="s">
        <v>32</v>
      </c>
      <c r="I3" s="14">
        <v>2</v>
      </c>
      <c r="J3" s="15" t="s">
        <v>31</v>
      </c>
      <c r="K3" s="14" t="s">
        <v>97</v>
      </c>
    </row>
    <row r="4" spans="1:11" ht="30" x14ac:dyDescent="0.25">
      <c r="A4">
        <v>3</v>
      </c>
      <c r="B4" t="s">
        <v>33</v>
      </c>
      <c r="C4" t="s">
        <v>34</v>
      </c>
      <c r="I4" s="14">
        <v>3</v>
      </c>
      <c r="J4" s="15" t="s">
        <v>33</v>
      </c>
      <c r="K4" s="14" t="s">
        <v>98</v>
      </c>
    </row>
    <row r="5" spans="1:11" ht="45" x14ac:dyDescent="0.25">
      <c r="A5">
        <v>4</v>
      </c>
      <c r="B5" t="s">
        <v>35</v>
      </c>
      <c r="C5" t="s">
        <v>36</v>
      </c>
      <c r="I5" s="14">
        <v>4</v>
      </c>
      <c r="J5" s="15" t="s">
        <v>35</v>
      </c>
      <c r="K5" s="14" t="s">
        <v>99</v>
      </c>
    </row>
    <row r="6" spans="1:11" ht="45" x14ac:dyDescent="0.25">
      <c r="A6">
        <v>5</v>
      </c>
      <c r="B6" t="s">
        <v>37</v>
      </c>
      <c r="C6" t="s">
        <v>38</v>
      </c>
      <c r="I6" s="14">
        <v>5</v>
      </c>
      <c r="J6" s="15" t="s">
        <v>37</v>
      </c>
      <c r="K6" s="14" t="s">
        <v>100</v>
      </c>
    </row>
    <row r="7" spans="1:11" ht="60" x14ac:dyDescent="0.25">
      <c r="A7">
        <v>6</v>
      </c>
      <c r="B7" t="s">
        <v>39</v>
      </c>
      <c r="C7" t="s">
        <v>36</v>
      </c>
      <c r="I7" s="14">
        <v>6</v>
      </c>
      <c r="J7" s="15" t="s">
        <v>39</v>
      </c>
      <c r="K7" s="14" t="s">
        <v>101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workbookViewId="0">
      <selection activeCell="E11" sqref="E11"/>
    </sheetView>
  </sheetViews>
  <sheetFormatPr defaultRowHeight="15" x14ac:dyDescent="0.25"/>
  <cols>
    <col min="1" max="1" width="6" customWidth="1"/>
    <col min="2" max="2" width="32" customWidth="1"/>
    <col min="3" max="3" width="36" customWidth="1"/>
    <col min="4" max="6" width="12" customWidth="1"/>
    <col min="7" max="7" width="36" customWidth="1"/>
  </cols>
  <sheetData>
    <row r="1" spans="1:7" x14ac:dyDescent="0.25">
      <c r="A1" s="1" t="s">
        <v>18</v>
      </c>
      <c r="B1" s="1" t="s">
        <v>19</v>
      </c>
      <c r="C1" s="1" t="s">
        <v>20</v>
      </c>
      <c r="D1" s="1" t="s">
        <v>8</v>
      </c>
      <c r="E1" s="1" t="s">
        <v>9</v>
      </c>
      <c r="F1" s="1" t="s">
        <v>10</v>
      </c>
      <c r="G1" s="1" t="s">
        <v>5</v>
      </c>
    </row>
    <row r="2" spans="1:7" x14ac:dyDescent="0.25">
      <c r="A2">
        <v>1</v>
      </c>
      <c r="B2" t="s">
        <v>40</v>
      </c>
      <c r="C2" t="s">
        <v>41</v>
      </c>
    </row>
    <row r="3" spans="1:7" x14ac:dyDescent="0.25">
      <c r="A3">
        <v>2</v>
      </c>
      <c r="B3" t="s">
        <v>42</v>
      </c>
      <c r="C3" t="s">
        <v>43</v>
      </c>
    </row>
    <row r="4" spans="1:7" x14ac:dyDescent="0.25">
      <c r="A4">
        <v>3</v>
      </c>
      <c r="B4" t="s">
        <v>44</v>
      </c>
      <c r="C4" t="s">
        <v>45</v>
      </c>
    </row>
    <row r="5" spans="1:7" x14ac:dyDescent="0.25">
      <c r="A5">
        <v>4</v>
      </c>
      <c r="B5" t="s">
        <v>46</v>
      </c>
      <c r="C5" t="s">
        <v>36</v>
      </c>
    </row>
    <row r="6" spans="1:7" x14ac:dyDescent="0.25">
      <c r="A6">
        <v>5</v>
      </c>
      <c r="B6" t="s">
        <v>47</v>
      </c>
      <c r="C6" t="s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"/>
  <sheetViews>
    <sheetView workbookViewId="0">
      <selection activeCell="D12" sqref="D12"/>
    </sheetView>
  </sheetViews>
  <sheetFormatPr defaultRowHeight="15" x14ac:dyDescent="0.25"/>
  <cols>
    <col min="1" max="1" width="6" customWidth="1"/>
    <col min="2" max="2" width="32" customWidth="1"/>
    <col min="3" max="3" width="36" customWidth="1"/>
    <col min="4" max="6" width="12" customWidth="1"/>
    <col min="7" max="7" width="36" customWidth="1"/>
  </cols>
  <sheetData>
    <row r="1" spans="1:7" x14ac:dyDescent="0.25">
      <c r="A1" s="1" t="s">
        <v>18</v>
      </c>
      <c r="B1" s="1" t="s">
        <v>19</v>
      </c>
      <c r="C1" s="1" t="s">
        <v>20</v>
      </c>
      <c r="D1" s="1" t="s">
        <v>8</v>
      </c>
      <c r="E1" s="1" t="s">
        <v>9</v>
      </c>
      <c r="F1" s="1" t="s">
        <v>10</v>
      </c>
      <c r="G1" s="1" t="s">
        <v>5</v>
      </c>
    </row>
    <row r="2" spans="1:7" x14ac:dyDescent="0.25">
      <c r="A2">
        <v>1</v>
      </c>
      <c r="B2" t="s">
        <v>49</v>
      </c>
      <c r="C2" t="s">
        <v>50</v>
      </c>
    </row>
    <row r="3" spans="1:7" x14ac:dyDescent="0.25">
      <c r="A3">
        <v>2</v>
      </c>
      <c r="B3" t="s">
        <v>51</v>
      </c>
      <c r="C3" t="s">
        <v>52</v>
      </c>
    </row>
    <row r="4" spans="1:7" x14ac:dyDescent="0.25">
      <c r="A4">
        <v>3</v>
      </c>
      <c r="B4" t="s">
        <v>53</v>
      </c>
      <c r="C4" t="s">
        <v>54</v>
      </c>
    </row>
    <row r="5" spans="1:7" x14ac:dyDescent="0.25">
      <c r="A5">
        <v>4</v>
      </c>
      <c r="B5" t="s">
        <v>55</v>
      </c>
      <c r="C5" t="s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"/>
  <sheetViews>
    <sheetView workbookViewId="0"/>
  </sheetViews>
  <sheetFormatPr defaultRowHeight="15" x14ac:dyDescent="0.25"/>
  <cols>
    <col min="1" max="1" width="6" customWidth="1"/>
    <col min="2" max="2" width="32" customWidth="1"/>
    <col min="3" max="3" width="36" customWidth="1"/>
    <col min="4" max="6" width="12" customWidth="1"/>
    <col min="7" max="7" width="36" customWidth="1"/>
  </cols>
  <sheetData>
    <row r="1" spans="1:7" x14ac:dyDescent="0.25">
      <c r="A1" s="1" t="s">
        <v>18</v>
      </c>
      <c r="B1" s="1" t="s">
        <v>19</v>
      </c>
      <c r="C1" s="1" t="s">
        <v>20</v>
      </c>
      <c r="D1" s="1" t="s">
        <v>8</v>
      </c>
      <c r="E1" s="1" t="s">
        <v>9</v>
      </c>
      <c r="F1" s="1" t="s">
        <v>10</v>
      </c>
      <c r="G1" s="1" t="s">
        <v>5</v>
      </c>
    </row>
    <row r="2" spans="1:7" x14ac:dyDescent="0.25">
      <c r="A2">
        <v>1</v>
      </c>
      <c r="B2" t="s">
        <v>57</v>
      </c>
      <c r="C2" t="s">
        <v>58</v>
      </c>
    </row>
    <row r="3" spans="1:7" x14ac:dyDescent="0.25">
      <c r="A3">
        <v>2</v>
      </c>
      <c r="B3" t="s">
        <v>59</v>
      </c>
      <c r="C3" t="s">
        <v>60</v>
      </c>
    </row>
    <row r="4" spans="1:7" x14ac:dyDescent="0.25">
      <c r="A4">
        <v>3</v>
      </c>
      <c r="B4" t="s">
        <v>61</v>
      </c>
      <c r="C4" t="s">
        <v>62</v>
      </c>
    </row>
    <row r="5" spans="1:7" x14ac:dyDescent="0.25">
      <c r="A5">
        <v>4</v>
      </c>
      <c r="B5" t="s">
        <v>63</v>
      </c>
      <c r="C5" t="s">
        <v>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"/>
  <sheetViews>
    <sheetView workbookViewId="0">
      <selection activeCell="C6" sqref="C6"/>
    </sheetView>
  </sheetViews>
  <sheetFormatPr defaultRowHeight="15" x14ac:dyDescent="0.25"/>
  <cols>
    <col min="1" max="1" width="6" customWidth="1"/>
    <col min="2" max="2" width="34" customWidth="1"/>
    <col min="3" max="5" width="12" customWidth="1"/>
    <col min="6" max="6" width="36" customWidth="1"/>
  </cols>
  <sheetData>
    <row r="1" spans="1:6" x14ac:dyDescent="0.25">
      <c r="A1" s="1" t="s">
        <v>18</v>
      </c>
      <c r="B1" s="1" t="s">
        <v>20</v>
      </c>
      <c r="C1" s="1" t="s">
        <v>8</v>
      </c>
      <c r="D1" s="1" t="s">
        <v>9</v>
      </c>
      <c r="E1" s="1" t="s">
        <v>10</v>
      </c>
      <c r="F1" s="1" t="s">
        <v>5</v>
      </c>
    </row>
    <row r="2" spans="1:6" x14ac:dyDescent="0.25">
      <c r="A2">
        <v>1</v>
      </c>
      <c r="B2" t="s">
        <v>65</v>
      </c>
      <c r="C2" t="s">
        <v>82</v>
      </c>
    </row>
    <row r="3" spans="1:6" x14ac:dyDescent="0.25">
      <c r="A3">
        <v>2</v>
      </c>
      <c r="B3" t="s">
        <v>66</v>
      </c>
    </row>
    <row r="4" spans="1:6" x14ac:dyDescent="0.25">
      <c r="A4">
        <v>3</v>
      </c>
      <c r="B4" t="s">
        <v>67</v>
      </c>
    </row>
    <row r="5" spans="1:6" x14ac:dyDescent="0.25">
      <c r="A5">
        <v>4</v>
      </c>
      <c r="B5" t="s">
        <v>68</v>
      </c>
    </row>
    <row r="6" spans="1:6" x14ac:dyDescent="0.25">
      <c r="A6">
        <v>5</v>
      </c>
      <c r="B6" t="s">
        <v>69</v>
      </c>
    </row>
    <row r="7" spans="1:6" x14ac:dyDescent="0.25">
      <c r="A7">
        <v>6</v>
      </c>
      <c r="B7" t="s">
        <v>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"/>
  <sheetViews>
    <sheetView topLeftCell="B1" workbookViewId="0"/>
  </sheetViews>
  <sheetFormatPr defaultRowHeight="15" x14ac:dyDescent="0.25"/>
  <cols>
    <col min="1" max="1" width="20" customWidth="1"/>
    <col min="2" max="2" width="14" customWidth="1"/>
    <col min="3" max="4" width="36" customWidth="1"/>
    <col min="5" max="5" width="24" customWidth="1"/>
  </cols>
  <sheetData>
    <row r="1" spans="1:5" x14ac:dyDescent="0.25">
      <c r="A1" s="1" t="s">
        <v>0</v>
      </c>
      <c r="B1" s="1" t="s">
        <v>3</v>
      </c>
      <c r="C1" s="1" t="s">
        <v>71</v>
      </c>
      <c r="D1" s="1" t="s">
        <v>72</v>
      </c>
      <c r="E1" s="1" t="s">
        <v>73</v>
      </c>
    </row>
    <row r="2" spans="1:5" x14ac:dyDescent="0.25">
      <c r="A2" t="s">
        <v>8</v>
      </c>
    </row>
    <row r="3" spans="1:5" x14ac:dyDescent="0.25">
      <c r="A3" t="s">
        <v>9</v>
      </c>
    </row>
    <row r="4" spans="1:5" x14ac:dyDescent="0.25">
      <c r="A4" t="s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7"/>
  <sheetViews>
    <sheetView workbookViewId="0"/>
  </sheetViews>
  <sheetFormatPr defaultRowHeight="15" x14ac:dyDescent="0.25"/>
  <cols>
    <col min="1" max="1" width="10" customWidth="1"/>
    <col min="2" max="2" width="36" customWidth="1"/>
  </cols>
  <sheetData>
    <row r="1" spans="1:2" x14ac:dyDescent="0.25">
      <c r="A1" s="1" t="s">
        <v>74</v>
      </c>
      <c r="B1" s="1" t="s">
        <v>75</v>
      </c>
    </row>
    <row r="2" spans="1:2" x14ac:dyDescent="0.25">
      <c r="A2">
        <v>0</v>
      </c>
      <c r="B2" t="s">
        <v>76</v>
      </c>
    </row>
    <row r="3" spans="1:2" x14ac:dyDescent="0.25">
      <c r="A3">
        <v>1</v>
      </c>
      <c r="B3" t="s">
        <v>77</v>
      </c>
    </row>
    <row r="4" spans="1:2" x14ac:dyDescent="0.25">
      <c r="A4">
        <v>2</v>
      </c>
      <c r="B4" t="s">
        <v>78</v>
      </c>
    </row>
    <row r="5" spans="1:2" x14ac:dyDescent="0.25">
      <c r="A5">
        <v>3</v>
      </c>
      <c r="B5" t="s">
        <v>79</v>
      </c>
    </row>
    <row r="6" spans="1:2" x14ac:dyDescent="0.25">
      <c r="A6">
        <v>4</v>
      </c>
      <c r="B6" t="s">
        <v>80</v>
      </c>
    </row>
    <row r="7" spans="1:2" x14ac:dyDescent="0.25">
      <c r="A7">
        <v>5</v>
      </c>
      <c r="B7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POC Summary</vt:lpstr>
      <vt:lpstr>Scoring Matrix</vt:lpstr>
      <vt:lpstr>Security</vt:lpstr>
      <vt:lpstr>Performance</vt:lpstr>
      <vt:lpstr>Manageability</vt:lpstr>
      <vt:lpstr>Integration</vt:lpstr>
      <vt:lpstr>FalsePositive</vt:lpstr>
      <vt:lpstr>Cost</vt:lpstr>
      <vt:lpstr>NonTechnical</vt:lpstr>
      <vt:lpstr>Final Recommendation</vt:lpstr>
      <vt:lpstr>Skala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D1v-Tsi</cp:lastModifiedBy>
  <dcterms:created xsi:type="dcterms:W3CDTF">2026-05-04T07:33:46Z</dcterms:created>
  <dcterms:modified xsi:type="dcterms:W3CDTF">2026-06-03T09:16:15Z</dcterms:modified>
</cp:coreProperties>
</file>